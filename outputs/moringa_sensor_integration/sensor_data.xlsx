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1c659c235246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nsor Readings" sheetId="1" r:id="R0e2fa73b9a8745db"/>
    <x:sheet xmlns:r="http://schemas.openxmlformats.org/officeDocument/2006/relationships" name="Method" sheetId="2" r:id="R49314a2070e24d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yyyy-mm-dd"/>
    <x:numFmt numFmtId="202" formatCode="0.0000"/>
    <x:numFmt numFmtId="203" formatCode="0.000"/>
    <x:numFmt numFmtId="204" formatCode="0.00"/>
  </x:numFmts>
  <x:fonts count="4">
    <x:font>
      <x:sz val="11"/>
      <x:color theme="1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005320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06B2C"/>
      </x:patternFill>
    </x:fill>
    <x:fill>
      <x:patternFill patternType="solid">
        <x:fgColor rgb="FFEAF6ED"/>
      </x:patternFill>
    </x:fill>
  </x:fills>
  <x:borders count="7">
    <x:border/>
    <x:border>
      <x:right style="thin">
        <x:color rgb="FFD8E3DA"/>
      </x:right>
      <x:bottom style="thin">
        <x:color rgb="FFD8E3DA"/>
      </x:bottom>
    </x:border>
    <x:border>
      <x:left style="thin">
        <x:color rgb="FFD8E3DA"/>
      </x:left>
      <x:bottom style="thin">
        <x:color rgb="FFD8E3DA"/>
      </x:bottom>
    </x:border>
    <x:border>
      <x:right style="thin">
        <x:color rgb="FFD8E3DA"/>
      </x:right>
      <x:top style="thin">
        <x:color rgb="FFD8E3DA"/>
      </x:top>
      <x:bottom style="thin">
        <x:color rgb="FFD8E3DA"/>
      </x:bottom>
    </x:border>
    <x:border>
      <x:left style="thin">
        <x:color rgb="FFD8E3DA"/>
      </x:left>
      <x:top style="thin">
        <x:color rgb="FFD8E3DA"/>
      </x:top>
      <x:bottom style="thin">
        <x:color rgb="FFD8E3DA"/>
      </x:bottom>
    </x:border>
    <x:border>
      <x:right style="thin">
        <x:color rgb="FFD8E3DA"/>
      </x:right>
      <x:top style="thin">
        <x:color rgb="FFD8E3DA"/>
      </x:top>
    </x:border>
    <x:border>
      <x:left style="thin">
        <x:color rgb="FFD8E3DA"/>
      </x:left>
      <x:top style="thin">
        <x:color rgb="FFD8E3DA"/>
      </x:top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0" borderId="2" xfId="0" applyNumberFormat="1" applyFont="1" applyFill="1" applyBorder="1"/>
    <x:xf numFmtId="0" fontId="3" fillId="3" borderId="3" xfId="0" applyNumberFormat="1" applyFont="1" applyFill="1" applyBorder="1"/>
    <x:xf numFmtId="0" fontId="0" fillId="0" borderId="4" xfId="0" applyNumberFormat="1" applyFont="1" applyFill="1" applyBorder="1"/>
    <x:xf numFmtId="0" fontId="3" fillId="3" borderId="5" xfId="0" applyNumberFormat="1" applyFont="1" applyFill="1" applyBorder="1"/>
    <x:xf numFmtId="0" fontId="0" fillId="0" borderId="6" xfId="0" applyNumberFormat="1" applyFont="1" applyFill="1" applyBorder="1"/>
    <x:xf numFmtId="0" fontId="3" fillId="3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3" fillId="3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3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204" fontId="0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0be744ffce4609" /><Relationship Type="http://schemas.openxmlformats.org/officeDocument/2006/relationships/theme" Target="/xl/theme/theme1.xml" Id="Rd770c856462a43bb" /><Relationship Type="http://schemas.openxmlformats.org/officeDocument/2006/relationships/sharedStrings" Target="/xl/sharedStrings.xml" Id="R1232137f23e24e1f" /><Relationship Type="http://schemas.openxmlformats.org/officeDocument/2006/relationships/worksheet" Target="/xl/worksheets/sheet1.xml" Id="R0e2fa73b9a8745db" /><Relationship Type="http://schemas.openxmlformats.org/officeDocument/2006/relationships/worksheet" Target="/xl/worksheets/sheet2.xml" Id="R49314a2070e24d32" /></Relationships>
</file>

<file path=xl/tables/table1.xml><?xml version="1.0" encoding="utf-8"?>
<x:table xmlns:x="http://schemas.openxmlformats.org/spreadsheetml/2006/main" id="1" name="SensorReadings" displayName="SensorReadings" ref="A1:N3" headerRowCount="1" totalsRowCount="0" totalsRowShown="0">
  <x:tableColumns count="14">
    <x:tableColumn id="1" name="Sample No."/>
    <x:tableColumn id="2" name="Date"/>
    <x:tableColumn id="3" name="Time"/>
    <x:tableColumn id="4" name="R - 610 nm"/>
    <x:tableColumn id="5" name="S - 680 nm"/>
    <x:tableColumn id="6" name="T - 730 nm"/>
    <x:tableColumn id="7" name="U - 760 nm"/>
    <x:tableColumn id="8" name="V - 810 nm"/>
    <x:tableColumn id="9" name="W - 860 nm"/>
    <x:tableColumn id="10" name="Red-edge avg"/>
    <x:tableColumn id="11" name="NIR avg"/>
    <x:tableColumn id="12" name="LPQI"/>
    <x:tableColumn id="13" name="Quality"/>
    <x:tableColumn id="14" name="Sensor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dec434b5734b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2" hidden="0" customWidth="1"/>
    <x:col min="2" max="2" width="13" hidden="0" customWidth="1"/>
    <x:col min="3" max="3" width="11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14" hidden="0" customWidth="1"/>
    <x:col min="12" max="12" width="11" hidden="0" customWidth="1"/>
    <x:col min="13" max="13" width="12" hidden="0" customWidth="1"/>
    <x:col min="14" max="14" width="34" hidden="0" customWidth="1"/>
  </x:cols>
  <x:sheetData>
    <x:row r="1" ht="32" customHeight="1">
      <x:c r="A1" s="5" t="inlineStr">
        <x:is>
          <x:t xml:space="preserve">Sample No.</x:t>
        </x:is>
      </x:c>
      <x:c r="B1" s="5" t="inlineStr">
        <x:is>
          <x:t xml:space="preserve">Date</x:t>
        </x:is>
      </x:c>
      <x:c r="C1" s="5" t="inlineStr">
        <x:is>
          <x:t xml:space="preserve">Time</x:t>
        </x:is>
      </x:c>
      <x:c r="D1" s="5" t="inlineStr">
        <x:is>
          <x:t xml:space="preserve">R - 610 nm</x:t>
        </x:is>
      </x:c>
      <x:c r="E1" s="5" t="inlineStr">
        <x:is>
          <x:t xml:space="preserve">S - 680 nm</x:t>
        </x:is>
      </x:c>
      <x:c r="F1" s="5" t="inlineStr">
        <x:is>
          <x:t xml:space="preserve">T - 730 nm</x:t>
        </x:is>
      </x:c>
      <x:c r="G1" s="5" t="inlineStr">
        <x:is>
          <x:t xml:space="preserve">U - 760 nm</x:t>
        </x:is>
      </x:c>
      <x:c r="H1" s="5" t="inlineStr">
        <x:is>
          <x:t xml:space="preserve">V - 810 nm</x:t>
        </x:is>
      </x:c>
      <x:c r="I1" s="5" t="inlineStr">
        <x:is>
          <x:t xml:space="preserve">W - 860 nm</x:t>
        </x:is>
      </x:c>
      <x:c r="J1" s="5" t="str">
        <x:v>Red-edge avg</x:v>
      </x:c>
      <x:c r="K1" s="5" t="str">
        <x:v>NIR avg</x:v>
      </x:c>
      <x:c r="L1" s="5" t="str">
        <x:v>LPQI</x:v>
      </x:c>
      <x:c r="M1" s="5" t="str">
        <x:v>Quality</x:v>
      </x:c>
      <x:c r="N1" s="5" t="str">
        <x:v>Sensor URL</x:v>
      </x:c>
    </x:row>
    <x:row r="2">
      <x:c r="A2" s="10" t="n">
        <x:v>1</x:v>
      </x:c>
      <x:c r="B2" s="11" t="inlineStr">
        <x:is>
          <x:t xml:space="preserve">2026-08-27</x:t>
        </x:is>
      </x:c>
      <x:c r="C2" s="12" t="inlineStr">
        <x:is>
          <x:t xml:space="preserve">21:06:02</x:t>
        </x:is>
      </x:c>
      <x:c r="D2" s="13" t="n">
        <x:v>95.67</x:v>
      </x:c>
      <x:c r="E2" s="13" t="n">
        <x:v>68.5</x:v>
      </x:c>
      <x:c r="F2" s="13" t="n">
        <x:v>9.27</x:v>
      </x:c>
      <x:c r="G2" s="13" t="n">
        <x:v>15.13</x:v>
      </x:c>
      <x:c r="H2" s="13" t="n">
        <x:v>22.46</x:v>
      </x:c>
      <x:c r="I2" s="13" t="n">
        <x:v>16.36</x:v>
      </x:c>
      <x:c r="J2" s="13" t="n">
        <x:f>AVERAGE(E2:F2)</x:f>
        <x:v>38.885</x:v>
      </x:c>
      <x:c r="K2" s="13" t="n">
        <x:f>AVERAGE(G2:I2)</x:f>
        <x:v>17.983333333333334</x:v>
      </x:c>
      <x:c r="L2" s="14" t="n">
        <x:f>IF((J2+K2)=0,"",(K2-J2)/(K2+J2))</x:f>
        <x:v>-0.3675449136895167</x:v>
      </x:c>
      <x:c r="M2" s="12" t="str">
        <x:f>IF(L2="","Invalid",IF(L2&gt;='Method'!$B$7,"Good",IF(L2&gt;='Method'!$B$8,"Moderate","Poor")))</x:f>
        <x:v>Poor</x:v>
      </x:c>
      <x:c r="N2" s="12" t="str">
        <x:v>Imported reading</x:v>
      </x:c>
    </x:row>
    <x:row r="3">
      <x:c r="A3" s="10" t="n">
        <x:v>2</x:v>
      </x:c>
      <x:c r="B3" s="11" t="inlineStr">
        <x:is>
          <x:t xml:space="preserve">2026-08-27</x:t>
        </x:is>
      </x:c>
      <x:c r="C3" s="12" t="inlineStr">
        <x:is>
          <x:t xml:space="preserve">21:35:04</x:t>
        </x:is>
      </x:c>
      <x:c r="D3" s="13" t="n">
        <x:v>11909.36</x:v>
      </x:c>
      <x:c r="E3" s="13" t="n">
        <x:v>1487.57</x:v>
      </x:c>
      <x:c r="F3" s="13" t="n">
        <x:v>1052.76</x:v>
      </x:c>
      <x:c r="G3" s="13" t="n">
        <x:v>678.47</x:v>
      </x:c>
      <x:c r="H3" s="13" t="n">
        <x:v>1026.35</x:v>
      </x:c>
      <x:c r="I3" s="13" t="n">
        <x:v>563.9299999999999</x:v>
      </x:c>
      <x:c r="J3" s="13" t="n">
        <x:f>AVERAGE(E3:F3)</x:f>
        <x:v>1270.165</x:v>
      </x:c>
      <x:c r="K3" s="13" t="n">
        <x:f>AVERAGE(G3:I3)</x:f>
        <x:v>756.25</x:v>
      </x:c>
      <x:c r="L3" s="14" t="n">
        <x:f>IF((J3+K3)=0,"",(K3-J3)/(K3+J3))</x:f>
        <x:v>-0.25360797270055735</x:v>
      </x:c>
      <x:c r="M3" s="12" t="str">
        <x:f>IF(L3="","Invalid",IF(L3&gt;='Method'!$B$7,"Good",IF(L3&gt;='Method'!$B$8,"Moderate","Poor")))</x:f>
        <x:v>Poor</x:v>
      </x:c>
      <x:c r="N3" s="12" t="str">
        <x:v>Imported reading</x:v>
      </x:c>
    </x:row>
  </x:sheetData>
  <x:pageMargins left="0.7" right="0.7" top="0.75" bottom="0.75" header="0.3" footer="0.3"/>
  <x:tableParts count="1">
    <x:tablePart xmlns:r="http://schemas.openxmlformats.org/officeDocument/2006/relationships" r:id="Rfcdec434b5734b1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8" hidden="0" customWidth="1"/>
  </x:cols>
  <x:sheetData>
    <x:row r="1" ht="34" customHeight="1">
      <x:c r="A1" s="17" t="str">
        <x:v>Moringa LPQI Method</x:v>
      </x:c>
      <x:c r="B1" s="17"/>
    </x:row>
    <x:row r="2">
      <x:c r="A2" s="26" t="str">
        <x:v>Purpose</x:v>
      </x:c>
      <x:c r="B2" s="32" t="str">
        <x:v>Document the calculation and classification used by the sensor service.</x:v>
      </x:c>
    </x:row>
    <x:row r="3">
      <x:c r="A3" s="28" t="str">
        <x:v>Red-edge average</x:v>
      </x:c>
      <x:c r="B3" s="33" t="str">
        <x:v>(680 nm + 730 nm) / 2</x:v>
      </x:c>
    </x:row>
    <x:row r="4">
      <x:c r="A4" s="28" t="str">
        <x:v>NIR average</x:v>
      </x:c>
      <x:c r="B4" s="33" t="str">
        <x:v>(760 nm + 810 nm + 860 nm) / 3</x:v>
      </x:c>
    </x:row>
    <x:row r="5">
      <x:c r="A5" s="28" t="str">
        <x:v>LPQI</x:v>
      </x:c>
      <x:c r="B5" s="33" t="str">
        <x:v>(NIR average - red-edge average) / (NIR average + red-edge average)</x:v>
      </x:c>
    </x:row>
    <x:row r="6">
      <x:c r="A6" s="28" t="str">
        <x:v>610 nm role</x:v>
      </x:c>
      <x:c r="B6" s="33" t="str">
        <x:v>Recorded for diagnostics and future calibration; not used in LPQI.</x:v>
      </x:c>
    </x:row>
    <x:row r="7">
      <x:c r="A7" s="28" t="str">
        <x:v>Good threshold</x:v>
      </x:c>
      <x:c r="B7" s="35" t="n">
        <x:v>0.45</x:v>
      </x:c>
    </x:row>
    <x:row r="8">
      <x:c r="A8" s="28" t="str">
        <x:v>Moderate threshold</x:v>
      </x:c>
      <x:c r="B8" s="35" t="n">
        <x:v>0.25</x:v>
      </x:c>
    </x:row>
    <x:row r="9">
      <x:c r="A9" s="28" t="str">
        <x:v>Caution</x:v>
      </x:c>
      <x:c r="B9" s="33" t="str">
        <x:v>Apply dark/white reference correction and per-band gain calibration. Thresholds require validation against laboratory reference samples.</x:v>
      </x:c>
    </x:row>
    <x:row r="10">
      <x:c r="A10" s="30" t="str">
        <x:v>Project source</x:v>
      </x:c>
      <x:c r="B10" s="34" t="str">
        <x:v>https://github.com/ss-sevesh/leafy-powder-quality-checker#-about-the-project</x:v>
      </x:c>
    </x:row>
  </x:sheetData>
  <x:mergeCells>
    <x:mergeCell ref="A1:B1"/>
  </x:mergeCells>
  <x:pageMargins left="0.7" right="0.7" top="0.75" bottom="0.75" header="0.3" footer="0.3"/>
</x:worksheet>
</file>